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hase-Plane-Dynamics\"/>
    </mc:Choice>
  </mc:AlternateContent>
  <xr:revisionPtr revIDLastSave="0" documentId="13_ncr:1_{A07EE0F7-416F-40BA-B383-9156F7B1263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9" i="1"/>
  <c r="B18" i="1"/>
  <c r="B7" i="1"/>
  <c r="B12" i="1"/>
  <c r="B11" i="1"/>
  <c r="B10" i="1"/>
</calcChain>
</file>

<file path=xl/sharedStrings.xml><?xml version="1.0" encoding="utf-8"?>
<sst xmlns="http://schemas.openxmlformats.org/spreadsheetml/2006/main" count="29" uniqueCount="28">
  <si>
    <t>Parameter</t>
  </si>
  <si>
    <t>Value</t>
  </si>
  <si>
    <t>Unit</t>
  </si>
  <si>
    <t>g</t>
  </si>
  <si>
    <t>Comment</t>
  </si>
  <si>
    <t>m/s^2</t>
  </si>
  <si>
    <t>vehicleMass</t>
  </si>
  <si>
    <t>trackwidth</t>
  </si>
  <si>
    <t>wheelbase</t>
  </si>
  <si>
    <t>b</t>
  </si>
  <si>
    <t>a</t>
  </si>
  <si>
    <t>h</t>
  </si>
  <si>
    <t>rho_air</t>
  </si>
  <si>
    <t>CdA</t>
  </si>
  <si>
    <t>CLfA</t>
  </si>
  <si>
    <t>CLrA</t>
  </si>
  <si>
    <t>gamma</t>
  </si>
  <si>
    <t>brake ratio</t>
  </si>
  <si>
    <t>roll_stiffness</t>
  </si>
  <si>
    <t>P_max</t>
  </si>
  <si>
    <t>r_R</t>
  </si>
  <si>
    <t>m</t>
  </si>
  <si>
    <t>rolling radius</t>
  </si>
  <si>
    <t>Iz</t>
  </si>
  <si>
    <t>c_alpha_f</t>
  </si>
  <si>
    <t>c_alpha_r</t>
  </si>
  <si>
    <t>mu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</si>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</sst>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F15" sqref="F15"/>
    </sheetView>
  </sheetViews>
  <sheetFormatPr defaultRowHeight="15" x14ac:dyDescent="0.25"/>
  <cols>
    <col min="1" max="1" width="18.85546875" customWidth="1"/>
    <col min="2" max="2" width="1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 t="s">
        <v>3</v>
      </c>
      <c r="B2">
        <v>9.8070000000000004</v>
      </c>
      <c r="C2" t="s">
        <v>5</v>
      </c>
    </row>
    <row r="3" spans="1:4" x14ac:dyDescent="0.25">
      <c r="A3" t="s">
        <v>6</v>
      </c>
      <c r="B3">
        <v>262</v>
      </c>
    </row>
    <row r="4" spans="1:4" x14ac:dyDescent="0.25">
      <c r="A4" t="s">
        <v>7</v>
      </c>
      <c r="B4">
        <v>1.2</v>
      </c>
    </row>
    <row r="5" spans="1:4" x14ac:dyDescent="0.25">
      <c r="A5" t="s">
        <v>8</v>
      </c>
      <c r="B5">
        <v>1.53</v>
      </c>
    </row>
    <row r="6" spans="1:4" x14ac:dyDescent="0.25">
      <c r="A6" t="s">
        <v>9</v>
      </c>
      <c r="B6">
        <v>0.72675000000000001</v>
      </c>
    </row>
    <row r="7" spans="1:4" s="1" customFormat="1" x14ac:dyDescent="0.25">
      <c r="A7" s="1" t="s">
        <v>10</v>
      </c>
      <c r="B7" s="1">
        <f>$B5 - $B6</f>
        <v>0.80325000000000002</v>
      </c>
    </row>
    <row r="8" spans="1:4" x14ac:dyDescent="0.25">
      <c r="A8" t="s">
        <v>11</v>
      </c>
      <c r="B8">
        <v>0.24</v>
      </c>
    </row>
    <row r="9" spans="1:4" x14ac:dyDescent="0.25">
      <c r="A9" t="s">
        <v>12</v>
      </c>
      <c r="B9">
        <v>1.2</v>
      </c>
    </row>
    <row r="10" spans="1:4" x14ac:dyDescent="0.25">
      <c r="A10" t="s">
        <v>13</v>
      </c>
      <c r="B10">
        <f>1.1*1.1</f>
        <v>1.2100000000000002</v>
      </c>
    </row>
    <row r="11" spans="1:4" x14ac:dyDescent="0.25">
      <c r="A11" t="s">
        <v>14</v>
      </c>
      <c r="B11">
        <f>0.15*1.1</f>
        <v>0.16500000000000001</v>
      </c>
    </row>
    <row r="12" spans="1:4" x14ac:dyDescent="0.25">
      <c r="A12" t="s">
        <v>15</v>
      </c>
      <c r="B12">
        <f>0.15*1.1</f>
        <v>0.16500000000000001</v>
      </c>
    </row>
    <row r="13" spans="1:4" x14ac:dyDescent="0.25">
      <c r="A13" t="s">
        <v>16</v>
      </c>
      <c r="B13">
        <f>50/50</f>
        <v>1</v>
      </c>
      <c r="D13" t="s">
        <v>17</v>
      </c>
    </row>
    <row r="14" spans="1:4" x14ac:dyDescent="0.25">
      <c r="A14" t="s">
        <v>18</v>
      </c>
      <c r="B14">
        <v>0.53</v>
      </c>
    </row>
    <row r="15" spans="1:4" x14ac:dyDescent="0.25">
      <c r="A15" t="s">
        <v>19</v>
      </c>
      <c r="B15">
        <v>80</v>
      </c>
    </row>
    <row r="16" spans="1:4" x14ac:dyDescent="0.25">
      <c r="A16" t="s">
        <v>20</v>
      </c>
      <c r="B16">
        <v>0.254</v>
      </c>
      <c r="C16" t="s">
        <v>21</v>
      </c>
      <c r="D16" t="s">
        <v>22</v>
      </c>
    </row>
    <row r="17" spans="1:3" x14ac:dyDescent="0.25">
      <c r="A17" t="s">
        <v>23</v>
      </c>
    </row>
    <row r="18" spans="1:3" x14ac:dyDescent="0.25">
      <c r="A18" t="s">
        <v>24</v>
      </c>
      <c r="B18">
        <f>75*1000</f>
        <v>75000</v>
      </c>
      <c r="C18" t="s">
        <v>27</v>
      </c>
    </row>
    <row r="19" spans="1:3" x14ac:dyDescent="0.25">
      <c r="A19" t="s">
        <v>25</v>
      </c>
      <c r="B19">
        <f>135*1000</f>
        <v>135000</v>
      </c>
      <c r="C19" t="s">
        <v>27</v>
      </c>
    </row>
    <row r="20" spans="1:3" x14ac:dyDescent="0.25">
      <c r="A20" t="s">
        <v>26</v>
      </c>
      <c r="B20"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McPoyle</dc:creator>
  <cp:lastModifiedBy>Alyssa McPoyle</cp:lastModifiedBy>
  <dcterms:created xsi:type="dcterms:W3CDTF">2015-06-05T18:17:20Z</dcterms:created>
  <dcterms:modified xsi:type="dcterms:W3CDTF">2026-01-03T01:03:22Z</dcterms:modified>
</cp:coreProperties>
</file>